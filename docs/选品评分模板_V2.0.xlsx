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品评分表" sheetId="1" state="visible" r:id="rId1"/>
    <sheet xmlns:r="http://schemas.openxmlformats.org/officeDocument/2006/relationships" name="全成本利润计算器" sheetId="2" state="visible" r:id="rId2"/>
    <sheet xmlns:r="http://schemas.openxmlformats.org/officeDocument/2006/relationships" name="评分标准参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000000"/>
      <sz val="11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sz val="11"/>
    </font>
    <font>
      <name val="微软雅黑"/>
      <b val="1"/>
      <sz val="12"/>
    </font>
    <font>
      <name val="微软雅黑"/>
      <i val="1"/>
      <color rgb="00C00000"/>
      <sz val="10"/>
    </font>
    <font>
      <name val="微软雅黑"/>
      <color rgb="00666666"/>
      <sz val="9"/>
    </font>
    <font>
      <name val="微软雅黑"/>
      <b val="1"/>
      <sz val="10"/>
    </font>
    <font>
      <name val="微软雅黑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50" customWidth="1" min="5" max="5"/>
  </cols>
  <sheetData>
    <row r="1" ht="30" customHeight="1">
      <c r="A1" s="1" t="inlineStr">
        <is>
          <t>Nuotao Outdoor 选品评分表 V2.0（11维度评分体系）</t>
        </is>
      </c>
    </row>
    <row r="2">
      <c r="A2" s="2" t="inlineStr">
        <is>
          <t>产品名称</t>
        </is>
      </c>
      <c r="B2" s="2" t="inlineStr">
        <is>
          <t>1688 Offer ID</t>
        </is>
      </c>
      <c r="C2" s="2" t="inlineStr">
        <is>
          <t>采购价(¥)</t>
        </is>
      </c>
      <c r="D2" s="2" t="inlineStr">
        <is>
          <t>目标售价($)</t>
        </is>
      </c>
      <c r="E2" s="2" t="inlineStr">
        <is>
          <t>供应商</t>
        </is>
      </c>
      <c r="F2" s="2" t="inlineStr">
        <is>
          <t>选品日期</t>
        </is>
      </c>
      <c r="G2" s="2" t="inlineStr">
        <is>
          <t>产品系列</t>
        </is>
      </c>
      <c r="H2" s="2" t="inlineStr">
        <is>
          <t>备注</t>
        </is>
      </c>
    </row>
    <row r="4">
      <c r="A4" s="3" t="inlineStr">
        <is>
          <t>11维度评分明细</t>
        </is>
      </c>
    </row>
    <row r="5">
      <c r="A5" s="2" t="inlineStr">
        <is>
          <t>维度</t>
        </is>
      </c>
      <c r="B5" s="2" t="inlineStr">
        <is>
          <t>权重</t>
        </is>
      </c>
      <c r="C5" s="2" t="inlineStr">
        <is>
          <t>得分(0-100)</t>
        </is>
      </c>
      <c r="D5" s="2" t="inlineStr">
        <is>
          <t>加权分</t>
        </is>
      </c>
      <c r="E5" s="2" t="inlineStr">
        <is>
          <t>评分标准/备注</t>
        </is>
      </c>
    </row>
    <row r="6">
      <c r="A6" s="4" t="inlineStr">
        <is>
          <t>1. 供应商资质</t>
        </is>
      </c>
      <c r="B6" s="4" t="inlineStr">
        <is>
          <t>15%</t>
        </is>
      </c>
      <c r="C6" s="4" t="inlineStr"/>
      <c r="D6" s="4">
        <f>B6*C6/100</f>
        <v/>
      </c>
      <c r="E6" s="5" t="inlineStr">
        <is>
          <t>超级工厂?入驻年限?回头率?品质达标率?</t>
        </is>
      </c>
    </row>
    <row r="7">
      <c r="A7" s="4" t="inlineStr">
        <is>
          <t>2. 销量验证</t>
        </is>
      </c>
      <c r="B7" s="4" t="inlineStr">
        <is>
          <t>10%</t>
        </is>
      </c>
      <c r="C7" s="4" t="inlineStr"/>
      <c r="D7" s="4">
        <f>B7*C7/100</f>
        <v/>
      </c>
      <c r="E7" s="5" t="inlineStr">
        <is>
          <t>全网销量?月销?复购率?</t>
        </is>
      </c>
    </row>
    <row r="8">
      <c r="A8" s="4" t="inlineStr">
        <is>
          <t>3. 全成本利润率</t>
        </is>
      </c>
      <c r="B8" s="4" t="inlineStr">
        <is>
          <t>15%</t>
        </is>
      </c>
      <c r="C8" s="4" t="inlineStr"/>
      <c r="D8" s="4">
        <f>B8*C8/100</f>
        <v/>
      </c>
      <c r="E8" s="5" t="inlineStr">
        <is>
          <t>采购价+国际物流+平台费+营销费，全成本利润率&gt;60%优秀</t>
        </is>
      </c>
    </row>
    <row r="9">
      <c r="A9" s="4" t="inlineStr">
        <is>
          <t>4. 产品质量</t>
        </is>
      </c>
      <c r="B9" s="4" t="inlineStr">
        <is>
          <t>10%</t>
        </is>
      </c>
      <c r="C9" s="4" t="inlineStr"/>
      <c r="D9" s="4">
        <f>B9*C9/100</f>
        <v/>
      </c>
      <c r="E9" s="5" t="inlineStr">
        <is>
          <t>品质达标率?48小时发货率?退货率?</t>
        </is>
      </c>
    </row>
    <row r="10">
      <c r="A10" s="4" t="inlineStr">
        <is>
          <t>5. 物流支持</t>
        </is>
      </c>
      <c r="B10" s="4" t="inlineStr">
        <is>
          <t>5%</t>
        </is>
      </c>
      <c r="C10" s="4" t="inlineStr"/>
      <c r="D10" s="4">
        <f>B10*C10/100</f>
        <v/>
      </c>
      <c r="E10" s="5" t="inlineStr">
        <is>
          <t>包邮?退货包运费?一件代发?3天达?</t>
        </is>
      </c>
    </row>
    <row r="11">
      <c r="A11" s="4" t="inlineStr">
        <is>
          <t>6. 差异化空间</t>
        </is>
      </c>
      <c r="B11" s="4" t="inlineStr">
        <is>
          <t>5%</t>
        </is>
      </c>
      <c r="C11" s="4" t="inlineStr"/>
      <c r="D11" s="4">
        <f>B11*C11/100</f>
        <v/>
      </c>
      <c r="E11" s="5" t="inlineStr">
        <is>
          <t>原图合规性?AI生图提升空间?</t>
        </is>
      </c>
    </row>
    <row r="12">
      <c r="A12" s="4" t="inlineStr">
        <is>
          <t>7. 市场热度</t>
        </is>
      </c>
      <c r="B12" s="4" t="inlineStr">
        <is>
          <t>10%</t>
        </is>
      </c>
      <c r="C12" s="4" t="inlineStr"/>
      <c r="D12" s="4">
        <f>B12*C12/100</f>
        <v/>
      </c>
      <c r="E12" s="5" t="inlineStr">
        <is>
          <t>Google Trends趋势?TikTok播放量?亚马逊BSR?</t>
        </is>
      </c>
    </row>
    <row r="13">
      <c r="A13" s="4" t="inlineStr">
        <is>
          <t>8. 亚马逊竞争度</t>
        </is>
      </c>
      <c r="B13" s="4" t="inlineStr">
        <is>
          <t>10%</t>
        </is>
      </c>
      <c r="C13" s="4" t="inlineStr"/>
      <c r="D13" s="4">
        <f>B13*C13/100</f>
        <v/>
      </c>
      <c r="E13" s="5" t="inlineStr">
        <is>
          <t>搜索结果数?Top10 Review数?平均售价?垄断品牌?</t>
        </is>
      </c>
    </row>
    <row r="14">
      <c r="A14" s="4" t="inlineStr">
        <is>
          <t>9. 季节性适配</t>
        </is>
      </c>
      <c r="B14" s="4" t="inlineStr">
        <is>
          <t>5%</t>
        </is>
      </c>
      <c r="C14" s="4" t="inlineStr"/>
      <c r="D14" s="4">
        <f>B14*C14/100</f>
        <v/>
      </c>
      <c r="E14" s="5" t="inlineStr">
        <is>
          <t>旺季时长?当前所处季节?最佳上架时机?</t>
        </is>
      </c>
    </row>
    <row r="15">
      <c r="A15" s="4" t="inlineStr">
        <is>
          <t>10. AI生图难度</t>
        </is>
      </c>
      <c r="B15" s="4" t="inlineStr">
        <is>
          <t>5%</t>
        </is>
      </c>
      <c r="C15" s="4" t="inlineStr"/>
      <c r="D15" s="4">
        <f>B15*C15/100</f>
        <v/>
      </c>
      <c r="E15" s="5" t="inlineStr">
        <is>
          <t>结构复杂度?材质表现?细节还原?I2I参考图质量?</t>
        </is>
      </c>
    </row>
    <row r="16">
      <c r="A16" s="4" t="inlineStr">
        <is>
          <t>11. 合规与侵权风险</t>
        </is>
      </c>
      <c r="B16" s="4" t="inlineStr">
        <is>
          <t>5%</t>
        </is>
      </c>
      <c r="C16" s="4" t="inlineStr"/>
      <c r="D16" s="4">
        <f>B16*C16/100</f>
        <v/>
      </c>
      <c r="E16" s="5" t="inlineStr">
        <is>
          <t>专利?商标?认证?材质合规?标签合规?</t>
        </is>
      </c>
    </row>
    <row r="17">
      <c r="A17" s="6" t="inlineStr">
        <is>
          <t>综合总分</t>
        </is>
      </c>
      <c r="B17" s="7" t="n"/>
      <c r="C17" s="7" t="n"/>
      <c r="D17" s="8">
        <f>SUM(D6:D16)</f>
        <v/>
      </c>
      <c r="E17" s="7" t="n"/>
    </row>
    <row r="18">
      <c r="A18" s="6" t="inlineStr">
        <is>
          <t>选品等级</t>
        </is>
      </c>
      <c r="B18" s="7" t="n"/>
      <c r="C18" s="7" t="n"/>
      <c r="D18" s="9">
        <f>IF(D17&gt;=85,"A级-优先上架",IF(D17&gt;=70,"B级-可上架",IF(D17&gt;=60,"C级-待观察","D级-淘汰")))</f>
        <v/>
      </c>
      <c r="E18" s="7" t="n"/>
    </row>
    <row r="20">
      <c r="A20" s="10" t="inlineStr">
        <is>
          <t>决策规则：A级(≥85分)优先上架 | B级(70-84分)可上架 | C级(60-69分)待观察 | D级(&lt;60分)淘汰</t>
        </is>
      </c>
    </row>
  </sheetData>
  <mergeCells count="3">
    <mergeCell ref="A4:E4"/>
    <mergeCell ref="A20:E2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</cols>
  <sheetData>
    <row r="1" ht="30" customHeight="1">
      <c r="A1" s="1" t="inlineStr">
        <is>
          <t>全成本利润率计算器</t>
        </is>
      </c>
    </row>
    <row r="3">
      <c r="A3" s="4" t="inlineStr">
        <is>
          <t>售价(USD)</t>
        </is>
      </c>
      <c r="B3" s="4" t="n">
        <v>39.99</v>
      </c>
      <c r="C3" s="11" t="inlineStr">
        <is>
          <t>目标售价</t>
        </is>
      </c>
    </row>
    <row r="4">
      <c r="A4" s="4" t="inlineStr">
        <is>
          <t>汇率(USD→CNY)</t>
        </is>
      </c>
      <c r="B4" s="4" t="n">
        <v>7.2</v>
      </c>
      <c r="C4" s="11" t="inlineStr">
        <is>
          <t>当前汇率</t>
        </is>
      </c>
    </row>
    <row r="5">
      <c r="A5" s="4" t="inlineStr">
        <is>
          <t>采购价(CNY)</t>
        </is>
      </c>
      <c r="B5" s="4" t="n">
        <v>40.88</v>
      </c>
      <c r="C5" s="11" t="inlineStr">
        <is>
          <t>1688采购价</t>
        </is>
      </c>
    </row>
    <row r="6">
      <c r="A6" s="4" t="inlineStr">
        <is>
          <t>产品重量(kg)</t>
        </is>
      </c>
      <c r="B6" s="4" t="n">
        <v>2.5</v>
      </c>
      <c r="C6" s="11" t="inlineStr">
        <is>
          <t>用于计算国际物流</t>
        </is>
      </c>
    </row>
    <row r="7">
      <c r="A7" s="4" t="inlineStr">
        <is>
          <t>物流单价(CNY/kg)</t>
        </is>
      </c>
      <c r="B7" s="4" t="n">
        <v>50</v>
      </c>
      <c r="C7" s="11" t="inlineStr">
        <is>
          <t>国际专线物流单价（首重+续重折算）</t>
        </is>
      </c>
    </row>
    <row r="8">
      <c r="A8" s="4" t="inlineStr">
        <is>
          <t>平台费率(%)</t>
        </is>
      </c>
      <c r="B8" s="4" t="n">
        <v>2.9</v>
      </c>
      <c r="C8" s="11" t="inlineStr">
        <is>
          <t>Stripe支付手续费</t>
        </is>
      </c>
    </row>
    <row r="9">
      <c r="A9" s="4" t="inlineStr">
        <is>
          <t>平台固定费(CNY)</t>
        </is>
      </c>
      <c r="B9" s="4" t="n">
        <v>2.16</v>
      </c>
      <c r="C9" s="11" t="inlineStr">
        <is>
          <t>Stripe每笔固定费($0.30×7.2)</t>
        </is>
      </c>
    </row>
    <row r="10">
      <c r="A10" s="4" t="inlineStr">
        <is>
          <t>营销费率(%)</t>
        </is>
      </c>
      <c r="B10" s="4" t="n">
        <v>15</v>
      </c>
      <c r="C10" s="11" t="inlineStr">
        <is>
          <t>Facebook/Google广告占售价比</t>
        </is>
      </c>
    </row>
    <row r="11">
      <c r="A11" s="4" t="inlineStr">
        <is>
          <t>其他费用(CNY)</t>
        </is>
      </c>
      <c r="B11" s="4" t="n">
        <v>5</v>
      </c>
      <c r="C11" s="11" t="inlineStr">
        <is>
          <t>退货损耗/客服/包装等</t>
        </is>
      </c>
    </row>
    <row r="12">
      <c r="A12" s="3" t="inlineStr">
        <is>
          <t>计算结果</t>
        </is>
      </c>
    </row>
    <row r="13">
      <c r="A13" s="12" t="inlineStr">
        <is>
          <t>售价(CNY)</t>
        </is>
      </c>
      <c r="B13" s="13">
        <f>B3*B4</f>
        <v/>
      </c>
      <c r="C13" s="11" t="inlineStr">
        <is>
          <t>售价×汇率</t>
        </is>
      </c>
    </row>
    <row r="14">
      <c r="A14" s="12" t="inlineStr">
        <is>
          <t>国际物流费(CNY)</t>
        </is>
      </c>
      <c r="B14" s="13">
        <f>B6*B7</f>
        <v/>
      </c>
      <c r="C14" s="11" t="inlineStr">
        <is>
          <t>重量×物流单价</t>
        </is>
      </c>
    </row>
    <row r="15">
      <c r="A15" s="12" t="inlineStr">
        <is>
          <t>平台费(CNY)</t>
        </is>
      </c>
      <c r="B15" s="13">
        <f>B11*B8/100+B9</f>
        <v/>
      </c>
      <c r="C15" s="11" t="inlineStr">
        <is>
          <t>售价×费率+固定费</t>
        </is>
      </c>
    </row>
    <row r="16">
      <c r="A16" s="12" t="inlineStr">
        <is>
          <t>营销费(CNY)</t>
        </is>
      </c>
      <c r="B16" s="13">
        <f>B11*B10/100</f>
        <v/>
      </c>
      <c r="C16" s="11" t="inlineStr">
        <is>
          <t>售价×营销费率</t>
        </is>
      </c>
    </row>
    <row r="17">
      <c r="A17" s="12" t="inlineStr">
        <is>
          <t>总成本(CNY)</t>
        </is>
      </c>
      <c r="B17" s="13">
        <f>B5+B13+B14+B15+B12</f>
        <v/>
      </c>
      <c r="C17" s="11" t="inlineStr">
        <is>
          <t>采购+物流+平台+营销+其他</t>
        </is>
      </c>
    </row>
    <row r="18">
      <c r="A18" s="12" t="inlineStr">
        <is>
          <t>利润(CNY)</t>
        </is>
      </c>
      <c r="B18" s="13">
        <f>B11-B16</f>
        <v/>
      </c>
      <c r="C18" s="11" t="inlineStr">
        <is>
          <t>售价-总成本</t>
        </is>
      </c>
    </row>
    <row r="19">
      <c r="A19" s="12" t="inlineStr">
        <is>
          <t>全成本利润率(%)</t>
        </is>
      </c>
      <c r="B19" s="13">
        <f>B17/B11*100</f>
        <v/>
      </c>
      <c r="C19" s="11" t="inlineStr">
        <is>
          <t>利润/售价×100%</t>
        </is>
      </c>
    </row>
    <row r="21">
      <c r="A21" s="14" t="inlineStr">
        <is>
          <t>利润率评级</t>
        </is>
      </c>
      <c r="B21" s="14">
        <f>IF(B19&gt;=70,"优秀(&gt;70%)",IF(B19&gt;=60,"良好(60-70%)",IF(B19&gt;=50,"一般(50-60%)",IF(B19&gt;=40,"偏低(40-50%)","偏低(&lt;40%)"))))</f>
        <v/>
      </c>
    </row>
  </sheetData>
  <mergeCells count="2">
    <mergeCell ref="A12:C12"/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50" customWidth="1" min="3" max="3"/>
  </cols>
  <sheetData>
    <row r="1" ht="30" customHeight="1">
      <c r="A1" s="1" t="inlineStr">
        <is>
          <t>11维度评分标准参考</t>
        </is>
      </c>
    </row>
    <row r="2">
      <c r="A2" s="2" t="inlineStr">
        <is>
          <t>评分区间</t>
        </is>
      </c>
      <c r="B2" s="2" t="inlineStr">
        <is>
          <t>等级</t>
        </is>
      </c>
      <c r="C2" s="2" t="inlineStr">
        <is>
          <t>标准说明</t>
        </is>
      </c>
    </row>
    <row r="3">
      <c r="A3" s="4" t="inlineStr">
        <is>
          <t>90-100</t>
        </is>
      </c>
      <c r="B3" s="4" t="inlineStr">
        <is>
          <t>优秀</t>
        </is>
      </c>
      <c r="C3" s="4" t="inlineStr">
        <is>
          <t>各项指标达到行业顶尖水平</t>
        </is>
      </c>
    </row>
    <row r="4">
      <c r="A4" s="4" t="inlineStr">
        <is>
          <t>80-89</t>
        </is>
      </c>
      <c r="B4" s="4" t="inlineStr">
        <is>
          <t>良好</t>
        </is>
      </c>
      <c r="C4" s="4" t="inlineStr">
        <is>
          <t>各项指标优于行业平均水平</t>
        </is>
      </c>
    </row>
    <row r="5">
      <c r="A5" s="4" t="inlineStr">
        <is>
          <t>70-79</t>
        </is>
      </c>
      <c r="B5" s="4" t="inlineStr">
        <is>
          <t>中等</t>
        </is>
      </c>
      <c r="C5" s="4" t="inlineStr">
        <is>
          <t>各项指标达到行业平均水平</t>
        </is>
      </c>
    </row>
    <row r="6">
      <c r="A6" s="4" t="inlineStr">
        <is>
          <t>60-69</t>
        </is>
      </c>
      <c r="B6" s="4" t="inlineStr">
        <is>
          <t>及格</t>
        </is>
      </c>
      <c r="C6" s="4" t="inlineStr">
        <is>
          <t>各项指标基本达标，但有明显短板</t>
        </is>
      </c>
    </row>
    <row r="7">
      <c r="A7" s="4" t="inlineStr">
        <is>
          <t>&lt;60</t>
        </is>
      </c>
      <c r="B7" s="4" t="inlineStr">
        <is>
          <t>不及格</t>
        </is>
      </c>
      <c r="C7" s="4" t="inlineStr">
        <is>
          <t>存在严重问题，不建议选品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2026-09-05T16:19:48Z</dcterms:created>
  <dcterms:modified xmlns:dcterms="http://purl.org/dc/terms/" xmlns:xsi="http://www.w3.org/2001/XMLSchema-instance" xsi:type="dcterms:W3CDTF">2026-09-05T16:19:48Z</dcterms:modified>
</cp:coreProperties>
</file>